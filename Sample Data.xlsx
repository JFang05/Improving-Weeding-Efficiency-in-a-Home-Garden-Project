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7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8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9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ryfang/Jerry Related/GeorgiaTech/Summer 2025/MGT8823/Final Project/Final Project report/"/>
    </mc:Choice>
  </mc:AlternateContent>
  <xr:revisionPtr revIDLastSave="0" documentId="13_ncr:1_{6A151270-08F3-8946-B623-3B08083028E8}" xr6:coauthVersionLast="47" xr6:coauthVersionMax="47" xr10:uidLastSave="{00000000-0000-0000-0000-000000000000}"/>
  <bookViews>
    <workbookView xWindow="0" yWindow="820" windowWidth="30240" windowHeight="17780" activeTab="2" xr2:uid="{A8649417-29B1-D849-AA32-93768B3E57C7}"/>
  </bookViews>
  <sheets>
    <sheet name="Sheet1" sheetId="1" r:id="rId1"/>
    <sheet name="Sheet2" sheetId="2" r:id="rId2"/>
    <sheet name="New Data with Numbers" sheetId="3" r:id="rId3"/>
  </sheets>
  <definedNames>
    <definedName name="_xlchart.v1.0" hidden="1">Sheet2!$D$1</definedName>
    <definedName name="_xlchart.v1.1" hidden="1">Sheet2!$D$2:$D$37</definedName>
    <definedName name="_xlchart.v1.10" hidden="1">'New Data with Numbers'!$N$4:$N$5</definedName>
    <definedName name="_xlchart.v1.11" hidden="1">'New Data with Numbers'!$O$4:$O$5</definedName>
    <definedName name="_xlchart.v1.12" hidden="1">'New Data with Numbers'!$D$2:$D$32</definedName>
    <definedName name="_xlchart.v1.13" hidden="1">'New Data with Numbers'!$G$1</definedName>
    <definedName name="_xlchart.v1.14" hidden="1">'New Data with Numbers'!$G$2:$G$32</definedName>
    <definedName name="_xlchart.v1.15" hidden="1">'New Data with Numbers'!$B$2:$B$32</definedName>
    <definedName name="_xlchart.v1.16" hidden="1">'New Data with Numbers'!$D$1</definedName>
    <definedName name="_xlchart.v1.17" hidden="1">'New Data with Numbers'!$D$2:$D$32</definedName>
    <definedName name="_xlchart.v1.18" hidden="1">'New Data with Numbers'!$B$2:$B$32</definedName>
    <definedName name="_xlchart.v1.19" hidden="1">'New Data with Numbers'!$D$2:$D$32</definedName>
    <definedName name="_xlchart.v1.2" hidden="1">Sheet2!$D$1</definedName>
    <definedName name="_xlchart.v1.3" hidden="1">Sheet2!$D$2:$D$37</definedName>
    <definedName name="_xlchart.v1.4" hidden="1">Sheet2!$M$5:$M$7</definedName>
    <definedName name="_xlchart.v1.5" hidden="1">Sheet2!$N$5:$N$7</definedName>
    <definedName name="_xlchart.v1.6" hidden="1">'New Data with Numbers'!$N$28:$N$31</definedName>
    <definedName name="_xlchart.v1.7" hidden="1">'New Data with Numbers'!$O$28:$O$31</definedName>
    <definedName name="_xlchart.v1.8" hidden="1">'New Data with Numbers'!$R$52:$R$55</definedName>
    <definedName name="_xlchart.v1.9" hidden="1">'New Data with Numbers'!$S$52:$S$55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S55" i="3"/>
  <c r="S54" i="3"/>
  <c r="S53" i="3"/>
  <c r="S5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O31" i="3"/>
  <c r="O30" i="3"/>
  <c r="O29" i="3"/>
  <c r="O28" i="3"/>
  <c r="O5" i="3"/>
  <c r="O4" i="3"/>
  <c r="D43" i="2"/>
  <c r="C43" i="2"/>
  <c r="D38" i="2"/>
  <c r="C38" i="2"/>
  <c r="V5" i="2"/>
  <c r="V4" i="2"/>
  <c r="V3" i="2"/>
  <c r="N7" i="2"/>
  <c r="N6" i="2"/>
  <c r="N5" i="2"/>
  <c r="N2" i="2"/>
  <c r="N1" i="2"/>
</calcChain>
</file>

<file path=xl/sharedStrings.xml><?xml version="1.0" encoding="utf-8"?>
<sst xmlns="http://schemas.openxmlformats.org/spreadsheetml/2006/main" count="519" uniqueCount="78">
  <si>
    <t xml:space="preserve">X variables </t>
  </si>
  <si>
    <t>Some X variables collected</t>
  </si>
  <si>
    <t>Tool Type</t>
  </si>
  <si>
    <t>Why it might affect weeding time (Y)</t>
  </si>
  <si>
    <t>Some tools (e.g., hand weeder vs. hoe) may be more efficient</t>
  </si>
  <si>
    <t>Garden Section</t>
  </si>
  <si>
    <t>Different areas of the Garden may have more weeds, ahrder soil, and obstructions</t>
  </si>
  <si>
    <t>Soil Moisture Condition</t>
  </si>
  <si>
    <t>Damp soil is easier to weed than dry, compacted soil.</t>
  </si>
  <si>
    <t>Time of Day</t>
  </si>
  <si>
    <t xml:space="preserve">Physical fatigue or lighting may affect the weeding speed. </t>
  </si>
  <si>
    <t>Weather Conditions</t>
  </si>
  <si>
    <t xml:space="preserve">Sunny vs. cloudy may impact comfort and work speed. </t>
  </si>
  <si>
    <t>Day of Week</t>
  </si>
  <si>
    <t xml:space="preserve">May relate to user energy levels or weekly schedule. </t>
  </si>
  <si>
    <t>Type of Weeds present</t>
  </si>
  <si>
    <t xml:space="preserve">Some weeds are easier to pull than others. </t>
  </si>
  <si>
    <t>Physical Fatigue Level (1-5)</t>
  </si>
  <si>
    <t xml:space="preserve">User's self-reported fatigue could correlate with performance. </t>
  </si>
  <si>
    <t>Distractions (Yes/No)</t>
  </si>
  <si>
    <t>Distractions may lengthen weeding time</t>
  </si>
  <si>
    <t>Pre-Weeding Prep Time</t>
  </si>
  <si>
    <t xml:space="preserve">Indicates setup complexity, may add to total duration. </t>
  </si>
  <si>
    <t>Date</t>
  </si>
  <si>
    <t>Section</t>
  </si>
  <si>
    <t>Tool</t>
  </si>
  <si>
    <t>Time (min)</t>
  </si>
  <si>
    <t>Soil Moisture</t>
  </si>
  <si>
    <t>Weather</t>
  </si>
  <si>
    <t>Fatigue</t>
  </si>
  <si>
    <t>Distraction</t>
  </si>
  <si>
    <t>Weed Type</t>
  </si>
  <si>
    <t>Temperature (F)</t>
  </si>
  <si>
    <t>Dry</t>
  </si>
  <si>
    <t>Moist</t>
  </si>
  <si>
    <t xml:space="preserve">Dry </t>
  </si>
  <si>
    <t>Damp</t>
  </si>
  <si>
    <t>Front</t>
  </si>
  <si>
    <t>Back</t>
  </si>
  <si>
    <t>Side</t>
  </si>
  <si>
    <t>Hand Tool</t>
  </si>
  <si>
    <t>Hoe</t>
  </si>
  <si>
    <t>Morning</t>
  </si>
  <si>
    <t>Afternoon</t>
  </si>
  <si>
    <t>Evening</t>
  </si>
  <si>
    <t>Sunny</t>
  </si>
  <si>
    <t>Cloudy</t>
  </si>
  <si>
    <t>Overcast</t>
  </si>
  <si>
    <t xml:space="preserve">Sunny </t>
  </si>
  <si>
    <t>Rainy</t>
  </si>
  <si>
    <t>No</t>
  </si>
  <si>
    <t>Yes</t>
  </si>
  <si>
    <t>Dandelion</t>
  </si>
  <si>
    <t>Crabgrass</t>
  </si>
  <si>
    <t>Clover</t>
  </si>
  <si>
    <t>Thistle</t>
  </si>
  <si>
    <t xml:space="preserve">Hand Tool </t>
  </si>
  <si>
    <t xml:space="preserve">Front </t>
  </si>
  <si>
    <t>Min</t>
  </si>
  <si>
    <t>Average</t>
  </si>
  <si>
    <t>Max</t>
  </si>
  <si>
    <t>Position</t>
  </si>
  <si>
    <t xml:space="preserve">Back </t>
  </si>
  <si>
    <t xml:space="preserve">Hoe </t>
  </si>
  <si>
    <t>mean time</t>
  </si>
  <si>
    <t>Stdev</t>
  </si>
  <si>
    <t>Max min</t>
  </si>
  <si>
    <t>Min min</t>
  </si>
  <si>
    <t>Crabgrass Count</t>
  </si>
  <si>
    <t>Clover Count</t>
  </si>
  <si>
    <t>Dandelion Count</t>
  </si>
  <si>
    <t>Thistle Count</t>
  </si>
  <si>
    <t>Count of Yes Distractions</t>
  </si>
  <si>
    <t>Count of No Distractions</t>
  </si>
  <si>
    <t>Weather Count</t>
  </si>
  <si>
    <t xml:space="preserve">Cloudy </t>
  </si>
  <si>
    <t xml:space="preserve">Overcast </t>
  </si>
  <si>
    <t>Median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</si>
</sst>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weeding</a:t>
            </a:r>
            <a:r>
              <a:rPr lang="en-US" baseline="0"/>
              <a:t> Time (in minutes) for tools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Sheet2!$M$1:$M$2</c:f>
              <c:strCache>
                <c:ptCount val="2"/>
                <c:pt idx="0">
                  <c:v>Hand Tool</c:v>
                </c:pt>
                <c:pt idx="1">
                  <c:v>Hoe</c:v>
                </c:pt>
              </c:strCache>
            </c:strRef>
          </c:cat>
          <c:val>
            <c:numRef>
              <c:f>Sheet2!$N$1:$N$2</c:f>
              <c:numCache>
                <c:formatCode>General</c:formatCode>
                <c:ptCount val="2"/>
                <c:pt idx="0">
                  <c:v>22.428571428571427</c:v>
                </c:pt>
                <c:pt idx="1">
                  <c:v>13.071428571428571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C-8C40-B4C7-993AD901C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759407"/>
        <c:axId val="1696446623"/>
      </c:barChart>
      <c:catAx>
        <c:axId val="4667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46623"/>
        <c:crosses val="autoZero"/>
        <c:auto val="1"/>
        <c:lblAlgn val="ctr"/>
        <c:lblOffset val="100"/>
        <c:noMultiLvlLbl val="0"/>
      </c:catAx>
      <c:valAx>
        <c:axId val="169644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75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Average Weeding Time in Minutes based on each Garden Section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Sheet2!$V$2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Sheet2!$U$3:$U$5</c:f>
              <c:strCache>
                <c:ptCount val="3"/>
                <c:pt idx="0">
                  <c:v>Front</c:v>
                </c:pt>
                <c:pt idx="1">
                  <c:v>Side</c:v>
                </c:pt>
                <c:pt idx="2">
                  <c:v>Back</c:v>
                </c:pt>
              </c:strCache>
            </c:strRef>
          </c:cat>
          <c:val>
            <c:numRef>
              <c:f>Sheet2!$V$3:$V$5</c:f>
              <c:numCache>
                <c:formatCode>General</c:formatCode>
                <c:ptCount val="3"/>
                <c:pt idx="0">
                  <c:v>18</c:v>
                </c:pt>
                <c:pt idx="1">
                  <c:v>17.899999999999999</c:v>
                </c:pt>
                <c:pt idx="2">
                  <c:v>18.666666666666668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B-004C-A759-438624D21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293264"/>
        <c:axId val="980188752"/>
      </c:barChart>
      <c:catAx>
        <c:axId val="98029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88752"/>
        <c:crosses val="autoZero"/>
        <c:auto val="1"/>
        <c:lblAlgn val="ctr"/>
        <c:lblOffset val="100"/>
        <c:noMultiLvlLbl val="0"/>
      </c:catAx>
      <c:valAx>
        <c:axId val="980188752"/>
        <c:scaling>
          <c:orientation val="minMax"/>
          <c:max val="1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93264"/>
        <c:crosses val="autoZero"/>
        <c:crossBetween val="between"/>
        <c:minorUnit val="0.0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Weeding Time vs. Temperature (F)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'New Data with Numbers'!$K$1</c:f>
              <c:strCache>
                <c:ptCount val="1"/>
                <c:pt idx="0">
                  <c:v>Temperature (F)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001899994959646"/>
                  <c:y val="-0.209604131051020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'New Data with Numbers'!$K$2:$K$32</c:f>
              <c:numCache>
                <c:formatCode>General</c:formatCode>
                <c:ptCount val="31"/>
                <c:pt idx="0">
                  <c:v>85</c:v>
                </c:pt>
                <c:pt idx="1">
                  <c:v>91</c:v>
                </c:pt>
                <c:pt idx="2">
                  <c:v>91</c:v>
                </c:pt>
                <c:pt idx="3">
                  <c:v>100</c:v>
                </c:pt>
                <c:pt idx="4">
                  <c:v>103</c:v>
                </c:pt>
                <c:pt idx="5">
                  <c:v>101</c:v>
                </c:pt>
                <c:pt idx="6">
                  <c:v>90</c:v>
                </c:pt>
                <c:pt idx="7">
                  <c:v>69</c:v>
                </c:pt>
                <c:pt idx="8">
                  <c:v>89</c:v>
                </c:pt>
                <c:pt idx="9">
                  <c:v>94</c:v>
                </c:pt>
                <c:pt idx="10">
                  <c:v>91</c:v>
                </c:pt>
                <c:pt idx="11">
                  <c:v>87</c:v>
                </c:pt>
                <c:pt idx="12">
                  <c:v>85</c:v>
                </c:pt>
                <c:pt idx="13">
                  <c:v>90</c:v>
                </c:pt>
                <c:pt idx="14">
                  <c:v>86</c:v>
                </c:pt>
                <c:pt idx="15">
                  <c:v>91</c:v>
                </c:pt>
                <c:pt idx="16">
                  <c:v>93</c:v>
                </c:pt>
                <c:pt idx="17">
                  <c:v>90</c:v>
                </c:pt>
                <c:pt idx="18">
                  <c:v>93</c:v>
                </c:pt>
                <c:pt idx="19">
                  <c:v>90</c:v>
                </c:pt>
                <c:pt idx="20">
                  <c:v>83</c:v>
                </c:pt>
                <c:pt idx="21">
                  <c:v>87</c:v>
                </c:pt>
                <c:pt idx="22">
                  <c:v>87</c:v>
                </c:pt>
                <c:pt idx="23">
                  <c:v>87</c:v>
                </c:pt>
                <c:pt idx="24">
                  <c:v>86</c:v>
                </c:pt>
                <c:pt idx="25">
                  <c:v>86</c:v>
                </c:pt>
                <c:pt idx="26">
                  <c:v>87</c:v>
                </c:pt>
                <c:pt idx="27">
                  <c:v>87</c:v>
                </c:pt>
                <c:pt idx="28">
                  <c:v>84</c:v>
                </c:pt>
                <c:pt idx="29">
                  <c:v>82</c:v>
                </c:pt>
                <c:pt idx="30">
                  <c:v>86</c:v>
                </c:pt>
              </c:numCache>
            </c:numRef>
          </c:xVal>
          <c:yVal>
            <c:numRef>
              <c:f>'New Data with Numbers'!$D$2:$D$32</c:f>
              <c:numCache>
                <c:formatCode>General</c:formatCode>
                <c:ptCount val="31"/>
                <c:pt idx="0">
                  <c:v>21</c:v>
                </c:pt>
                <c:pt idx="1">
                  <c:v>13</c:v>
                </c:pt>
                <c:pt idx="2">
                  <c:v>24</c:v>
                </c:pt>
                <c:pt idx="3">
                  <c:v>9</c:v>
                </c:pt>
                <c:pt idx="4">
                  <c:v>18</c:v>
                </c:pt>
                <c:pt idx="5">
                  <c:v>12</c:v>
                </c:pt>
                <c:pt idx="6">
                  <c:v>25</c:v>
                </c:pt>
                <c:pt idx="7">
                  <c:v>10</c:v>
                </c:pt>
                <c:pt idx="8">
                  <c:v>19</c:v>
                </c:pt>
                <c:pt idx="9">
                  <c:v>8</c:v>
                </c:pt>
                <c:pt idx="10">
                  <c:v>12</c:v>
                </c:pt>
                <c:pt idx="11">
                  <c:v>25</c:v>
                </c:pt>
                <c:pt idx="12">
                  <c:v>15</c:v>
                </c:pt>
                <c:pt idx="13">
                  <c:v>30</c:v>
                </c:pt>
                <c:pt idx="14">
                  <c:v>25</c:v>
                </c:pt>
                <c:pt idx="15">
                  <c:v>15</c:v>
                </c:pt>
                <c:pt idx="16">
                  <c:v>13</c:v>
                </c:pt>
                <c:pt idx="17">
                  <c:v>21</c:v>
                </c:pt>
                <c:pt idx="18">
                  <c:v>16</c:v>
                </c:pt>
                <c:pt idx="19">
                  <c:v>18</c:v>
                </c:pt>
                <c:pt idx="20">
                  <c:v>30</c:v>
                </c:pt>
                <c:pt idx="21">
                  <c:v>25</c:v>
                </c:pt>
                <c:pt idx="22">
                  <c:v>18</c:v>
                </c:pt>
                <c:pt idx="23">
                  <c:v>20</c:v>
                </c:pt>
                <c:pt idx="24">
                  <c:v>23</c:v>
                </c:pt>
                <c:pt idx="25">
                  <c:v>28</c:v>
                </c:pt>
                <c:pt idx="26">
                  <c:v>14</c:v>
                </c:pt>
                <c:pt idx="27">
                  <c:v>23</c:v>
                </c:pt>
                <c:pt idx="28">
                  <c:v>10</c:v>
                </c:pt>
                <c:pt idx="29">
                  <c:v>19</c:v>
                </c:pt>
                <c:pt idx="3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AC-0346-9E8D-6A1D8D3E1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232800"/>
        <c:axId val="1384500000"/>
      </c:scatterChart>
      <c:valAx>
        <c:axId val="138423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Temperature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00000"/>
        <c:crosses val="autoZero"/>
        <c:crossBetween val="midCat"/>
      </c:valAx>
      <c:valAx>
        <c:axId val="138450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23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Weeding Time vs. Fatigue Level (1-5)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'New Data with Numbers'!$D$1</c:f>
              <c:strCache>
                <c:ptCount val="1"/>
                <c:pt idx="0">
                  <c:v>Time (min)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069921359800839"/>
                  <c:y val="3.687647892475572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2.2635x + 11.906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0.2238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'New Data with Numbers'!$H$2:$H$32</c:f>
              <c:numCache>
                <c:formatCode>General</c:formatCode>
                <c:ptCount val="31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  <c:pt idx="13">
                  <c:v>5</c:v>
                </c:pt>
                <c:pt idx="14">
                  <c:v>2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</c:numCache>
            </c:numRef>
          </c:xVal>
          <c:yVal>
            <c:numRef>
              <c:f>'New Data with Numbers'!$D$2:$D$32</c:f>
              <c:numCache>
                <c:formatCode>General</c:formatCode>
                <c:ptCount val="31"/>
                <c:pt idx="0">
                  <c:v>21</c:v>
                </c:pt>
                <c:pt idx="1">
                  <c:v>13</c:v>
                </c:pt>
                <c:pt idx="2">
                  <c:v>24</c:v>
                </c:pt>
                <c:pt idx="3">
                  <c:v>9</c:v>
                </c:pt>
                <c:pt idx="4">
                  <c:v>18</c:v>
                </c:pt>
                <c:pt idx="5">
                  <c:v>12</c:v>
                </c:pt>
                <c:pt idx="6">
                  <c:v>25</c:v>
                </c:pt>
                <c:pt idx="7">
                  <c:v>10</c:v>
                </c:pt>
                <c:pt idx="8">
                  <c:v>19</c:v>
                </c:pt>
                <c:pt idx="9">
                  <c:v>8</c:v>
                </c:pt>
                <c:pt idx="10">
                  <c:v>12</c:v>
                </c:pt>
                <c:pt idx="11">
                  <c:v>25</c:v>
                </c:pt>
                <c:pt idx="12">
                  <c:v>15</c:v>
                </c:pt>
                <c:pt idx="13">
                  <c:v>30</c:v>
                </c:pt>
                <c:pt idx="14">
                  <c:v>25</c:v>
                </c:pt>
                <c:pt idx="15">
                  <c:v>15</c:v>
                </c:pt>
                <c:pt idx="16">
                  <c:v>13</c:v>
                </c:pt>
                <c:pt idx="17">
                  <c:v>21</c:v>
                </c:pt>
                <c:pt idx="18">
                  <c:v>16</c:v>
                </c:pt>
                <c:pt idx="19">
                  <c:v>18</c:v>
                </c:pt>
                <c:pt idx="20">
                  <c:v>30</c:v>
                </c:pt>
                <c:pt idx="21">
                  <c:v>25</c:v>
                </c:pt>
                <c:pt idx="22">
                  <c:v>18</c:v>
                </c:pt>
                <c:pt idx="23">
                  <c:v>20</c:v>
                </c:pt>
                <c:pt idx="24">
                  <c:v>23</c:v>
                </c:pt>
                <c:pt idx="25">
                  <c:v>28</c:v>
                </c:pt>
                <c:pt idx="26">
                  <c:v>14</c:v>
                </c:pt>
                <c:pt idx="27">
                  <c:v>23</c:v>
                </c:pt>
                <c:pt idx="28">
                  <c:v>10</c:v>
                </c:pt>
                <c:pt idx="29">
                  <c:v>19</c:v>
                </c:pt>
                <c:pt idx="3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C0-1747-B8BA-3383D463A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655664"/>
        <c:axId val="842703951"/>
      </c:scatterChart>
      <c:valAx>
        <c:axId val="101965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Fatigue Level (1-5)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03951"/>
        <c:crosses val="autoZero"/>
        <c:crossBetween val="midCat"/>
      </c:valAx>
      <c:valAx>
        <c:axId val="84270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65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Time distribution (minutes)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Time distribution (minutes)</a:t>
          </a:r>
        </a:p>
      </cx:txPr>
    </cx:title>
    <cx:plotArea>
      <cx:plotAreaRegion>
        <cx:series layoutId="clusteredColumn" uniqueId="{9D187F91-8555-5D44-8CFC-C1F28ABB173B}">
          <cx:tx>
            <cx:txData>
              <cx:f>_xlchart.v1.0</cx:f>
              <cx:v>Time (min)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Boxplot of distribution of Time in Minutes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Boxplot of distribution of Time in Minutes</a:t>
          </a:r>
        </a:p>
      </cx:txPr>
    </cx:title>
    <cx:plotArea>
      <cx:plotAreaRegion>
        <cx:series layoutId="boxWhisker" uniqueId="{36510D14-8DF9-424B-80C2-F6FAA83C455E}">
          <cx:tx>
            <cx:txData>
              <cx:f>_xlchart.v1.2</cx:f>
              <cx:v>Time (min)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Average weeding time based on Soil Conditions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weeding time based on Soil Conditions</a:t>
          </a:r>
        </a:p>
      </cx:txPr>
    </cx:title>
    <cx:plotArea>
      <cx:plotAreaRegion>
        <cx:series layoutId="clusteredColumn" uniqueId="{4B397ADF-401F-9D4F-9C4C-F42B1A6058EA}" formatIdx="0"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_xlchart.v1.11</cx:f>
      </cx:numDim>
    </cx:data>
  </cx:chartData>
  <cx:chart>
    <cx:title pos="t" align="ctr" overlay="0">
      <cx:tx>
        <cx:txData>
          <cx:v>Pareto Chart of Distraction Frequency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Chart of Distraction Frequency</a:t>
          </a:r>
        </a:p>
      </cx:txPr>
    </cx:title>
    <cx:plotArea>
      <cx:plotAreaRegion>
        <cx:series layoutId="clusteredColumn" uniqueId="{63CEE0B8-5664-8140-A8CB-E08C1B080E74}">
          <cx:dataId val="0"/>
          <cx:layoutPr>
            <cx:aggregation/>
          </cx:layoutPr>
          <cx:axisId val="1"/>
        </cx:series>
        <cx:series layoutId="paretoLine" ownerIdx="0" uniqueId="{FA9994C7-A140-2D49-84D3-AC67BB0EA23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Pareto Chart of Weed Type Frequency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Chart of Weed Type Frequency</a:t>
          </a:r>
        </a:p>
      </cx:txPr>
    </cx:title>
    <cx:plotArea>
      <cx:plotAreaRegion>
        <cx:series layoutId="clusteredColumn" uniqueId="{24798A39-236A-5C4C-B58B-EAC72B7BF9AE}">
          <cx:dataId val="0"/>
          <cx:layoutPr>
            <cx:aggregation/>
          </cx:layoutPr>
          <cx:axisId val="1"/>
        </cx:series>
        <cx:series layoutId="paretoLine" ownerIdx="0" uniqueId="{CF731B03-3AD9-024A-8737-68F7702F3D8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_xlchart.v1.12</cx:f>
      </cx:numDim>
    </cx:data>
  </cx:chartData>
  <cx:chart>
    <cx:title pos="t" align="ctr" overlay="0">
      <cx:tx>
        <cx:txData>
          <cx:v>Boxplot of Weeding Time by Weather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Boxplot of Weeding Time by Weather</a:t>
          </a:r>
        </a:p>
      </cx:txPr>
    </cx:title>
    <cx:plotArea>
      <cx:plotAreaRegion>
        <cx:series layoutId="boxWhisker" uniqueId="{602181DB-74F3-384C-8E93-5A30EDE32386}">
          <cx:tx>
            <cx:txData>
              <cx:f>_xlchart.v1.13</cx:f>
              <cx:v>Weather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/>
    <cx:plotArea>
      <cx:plotAreaRegion>
        <cx:series layoutId="boxWhisker" uniqueId="{76A34B0C-7348-6D4A-8F0B-8EA2020F842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/>
    <cx:plotArea>
      <cx:plotAreaRegion>
        <cx:series layoutId="boxWhisker" uniqueId="{A32C337E-906D-4343-9E87-FB792C1EBED7}">
          <cx:tx>
            <cx:txData>
              <cx:f>_xlchart.v1.16</cx:f>
              <cx:v>Time (min)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_xlchart.v1.19</cx:f>
      </cx:numDim>
    </cx:data>
  </cx:chartData>
  <cx:chart>
    <cx:title pos="t" align="ctr" overlay="0"/>
    <cx:plotArea>
      <cx:plotAreaRegion>
        <cx:series layoutId="boxWhisker" uniqueId="{01F8D201-0130-F04B-BE03-F97F5E8219E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openxmlformats.org/officeDocument/2006/relationships/chart" Target="../charts/chart2.xml"/><Relationship Id="rId4" Type="http://schemas.microsoft.com/office/2014/relationships/chartEx" Target="../charts/chartEx3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9.xml"/><Relationship Id="rId3" Type="http://schemas.openxmlformats.org/officeDocument/2006/relationships/chart" Target="../charts/chart3.xml"/><Relationship Id="rId7" Type="http://schemas.microsoft.com/office/2014/relationships/chartEx" Target="../charts/chartEx8.xml"/><Relationship Id="rId2" Type="http://schemas.microsoft.com/office/2014/relationships/chartEx" Target="../charts/chartEx5.xml"/><Relationship Id="rId1" Type="http://schemas.microsoft.com/office/2014/relationships/chartEx" Target="../charts/chartEx4.xml"/><Relationship Id="rId6" Type="http://schemas.microsoft.com/office/2014/relationships/chartEx" Target="../charts/chartEx7.xml"/><Relationship Id="rId5" Type="http://schemas.openxmlformats.org/officeDocument/2006/relationships/chart" Target="../charts/chart4.xml"/><Relationship Id="rId4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625960</xdr:colOff>
      <xdr:row>37</xdr:row>
      <xdr:rowOff>24323</xdr:rowOff>
    </xdr:from>
    <xdr:to>
      <xdr:col>12</xdr:col>
      <xdr:colOff>252495</xdr:colOff>
      <xdr:row>50</xdr:row>
      <xdr:rowOff>125923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63621E78-517F-5229-5F38-38CAEDBE94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8960" y="7568123"/>
              <a:ext cx="457953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692258</xdr:colOff>
      <xdr:row>48</xdr:row>
      <xdr:rowOff>61347</xdr:rowOff>
    </xdr:from>
    <xdr:to>
      <xdr:col>18</xdr:col>
      <xdr:colOff>318792</xdr:colOff>
      <xdr:row>61</xdr:row>
      <xdr:rowOff>153477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61F4048D-0EB0-7284-7DCD-FB47B8B48C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8258" y="9840347"/>
              <a:ext cx="4579534" cy="27337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294468</xdr:colOff>
      <xdr:row>54</xdr:row>
      <xdr:rowOff>35947</xdr:rowOff>
    </xdr:from>
    <xdr:to>
      <xdr:col>5</xdr:col>
      <xdr:colOff>731434</xdr:colOff>
      <xdr:row>67</xdr:row>
      <xdr:rowOff>128077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60325DD-27C9-C5AD-7E3D-F96B01E8B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595194</xdr:colOff>
      <xdr:row>14</xdr:row>
      <xdr:rowOff>2654</xdr:rowOff>
    </xdr:from>
    <xdr:to>
      <xdr:col>24</xdr:col>
      <xdr:colOff>163015</xdr:colOff>
      <xdr:row>27</xdr:row>
      <xdr:rowOff>35257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B91CC97-7C7B-06A6-8B8C-0589E32ECA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54194" y="2872854"/>
              <a:ext cx="4520821" cy="26742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536222</xdr:colOff>
      <xdr:row>16</xdr:row>
      <xdr:rowOff>53622</xdr:rowOff>
    </xdr:from>
    <xdr:to>
      <xdr:col>26</xdr:col>
      <xdr:colOff>112889</xdr:colOff>
      <xdr:row>30</xdr:row>
      <xdr:rowOff>31044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B2A5A2-C3EC-8BB8-1809-5D237973A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372584</xdr:colOff>
      <xdr:row>6</xdr:row>
      <xdr:rowOff>154694</xdr:rowOff>
    </xdr:from>
    <xdr:to>
      <xdr:col>18</xdr:col>
      <xdr:colOff>813259</xdr:colOff>
      <xdr:row>20</xdr:row>
      <xdr:rowOff>5967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1127AE8-38BE-F9F2-B43C-48E9EF87EA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04084" y="1373894"/>
              <a:ext cx="4568175" cy="26960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674414</xdr:colOff>
      <xdr:row>27</xdr:row>
      <xdr:rowOff>24174</xdr:rowOff>
    </xdr:from>
    <xdr:to>
      <xdr:col>21</xdr:col>
      <xdr:colOff>310493</xdr:colOff>
      <xdr:row>40</xdr:row>
      <xdr:rowOff>130591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C09F439-B298-3F21-10C5-AF5ADE81E6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56914" y="5510574"/>
              <a:ext cx="4589079" cy="27480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133569</xdr:colOff>
      <xdr:row>34</xdr:row>
      <xdr:rowOff>18831</xdr:rowOff>
    </xdr:from>
    <xdr:to>
      <xdr:col>10</xdr:col>
      <xdr:colOff>599965</xdr:colOff>
      <xdr:row>47</xdr:row>
      <xdr:rowOff>57807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110CE0-1704-0DF8-76A7-5C659905B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409948</xdr:colOff>
      <xdr:row>33</xdr:row>
      <xdr:rowOff>195693</xdr:rowOff>
    </xdr:from>
    <xdr:to>
      <xdr:col>27</xdr:col>
      <xdr:colOff>55223</xdr:colOff>
      <xdr:row>47</xdr:row>
      <xdr:rowOff>25013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93568708-3A02-5983-7E81-1DA9EA55E1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45448" y="6901293"/>
              <a:ext cx="4598275" cy="2674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515151</xdr:colOff>
      <xdr:row>51</xdr:row>
      <xdr:rowOff>64522</xdr:rowOff>
    </xdr:from>
    <xdr:to>
      <xdr:col>12</xdr:col>
      <xdr:colOff>230642</xdr:colOff>
      <xdr:row>69</xdr:row>
      <xdr:rowOff>128461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6F41D07-AE07-6F3B-E352-ADA857728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17042</xdr:colOff>
      <xdr:row>51</xdr:row>
      <xdr:rowOff>30070</xdr:rowOff>
    </xdr:from>
    <xdr:to>
      <xdr:col>24</xdr:col>
      <xdr:colOff>281202</xdr:colOff>
      <xdr:row>75</xdr:row>
      <xdr:rowOff>60550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7AF41686-A1B6-ED2F-3E53-6E6D2DC179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99542" y="10393270"/>
              <a:ext cx="7693660" cy="4907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711201</xdr:colOff>
      <xdr:row>26</xdr:row>
      <xdr:rowOff>76200</xdr:rowOff>
    </xdr:from>
    <xdr:to>
      <xdr:col>21</xdr:col>
      <xdr:colOff>304801</xdr:colOff>
      <xdr:row>39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9D72103-0EEC-418F-16DA-FB48C0BEB5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57201" y="5359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50801</xdr:colOff>
      <xdr:row>29</xdr:row>
      <xdr:rowOff>42333</xdr:rowOff>
    </xdr:from>
    <xdr:to>
      <xdr:col>26</xdr:col>
      <xdr:colOff>474134</xdr:colOff>
      <xdr:row>42</xdr:row>
      <xdr:rowOff>143933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24DD671-5C71-AFF7-7654-B2EB6DF498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86301" y="5935133"/>
              <a:ext cx="455083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2623-00A0-764B-8C6D-F8E874212E17}">
  <dimension ref="A1:B12"/>
  <sheetViews>
    <sheetView workbookViewId="0">
      <selection activeCell="A16" sqref="A16"/>
    </sheetView>
  </sheetViews>
  <sheetFormatPr baseColWidth="10" defaultRowHeight="16" x14ac:dyDescent="0.2"/>
  <cols>
    <col min="1" max="1" width="49.83203125" customWidth="1"/>
    <col min="2" max="2" width="57.33203125" customWidth="1"/>
  </cols>
  <sheetData>
    <row r="1" spans="1:2" x14ac:dyDescent="0.2">
      <c r="A1" t="s">
        <v>1</v>
      </c>
    </row>
    <row r="2" spans="1:2" x14ac:dyDescent="0.2">
      <c r="A2" t="s">
        <v>0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6CC7-9500-574C-B80B-994B5D6D4EBC}">
  <dimension ref="A1:Y43"/>
  <sheetViews>
    <sheetView zoomScale="142" zoomScaleNormal="83" workbookViewId="0">
      <selection activeCell="U2" sqref="U2:V5"/>
    </sheetView>
  </sheetViews>
  <sheetFormatPr baseColWidth="10" defaultRowHeight="16" x14ac:dyDescent="0.2"/>
  <sheetData>
    <row r="1" spans="1:25" ht="17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9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M1" t="s">
        <v>40</v>
      </c>
      <c r="N1" s="2">
        <f>AVERAGEIFS(D2:D32, C2:C32, "Hand Tool")</f>
        <v>22.428571428571427</v>
      </c>
    </row>
    <row r="2" spans="1:25" ht="17" x14ac:dyDescent="0.25">
      <c r="A2" s="6">
        <v>45828</v>
      </c>
      <c r="B2" s="5" t="s">
        <v>37</v>
      </c>
      <c r="C2" s="5" t="s">
        <v>40</v>
      </c>
      <c r="D2" s="5">
        <v>21</v>
      </c>
      <c r="E2" s="5" t="s">
        <v>33</v>
      </c>
      <c r="F2" s="5" t="s">
        <v>44</v>
      </c>
      <c r="G2" s="5" t="s">
        <v>45</v>
      </c>
      <c r="H2" s="5">
        <v>2</v>
      </c>
      <c r="I2" s="5" t="s">
        <v>50</v>
      </c>
      <c r="J2" s="5" t="s">
        <v>52</v>
      </c>
      <c r="K2" s="5">
        <v>85</v>
      </c>
      <c r="M2" t="s">
        <v>41</v>
      </c>
      <c r="N2" s="2">
        <f>AVERAGEIFS(D2:D32,C2:C32,"Hoe")</f>
        <v>13.071428571428571</v>
      </c>
      <c r="Q2" t="s">
        <v>37</v>
      </c>
      <c r="R2" t="s">
        <v>39</v>
      </c>
      <c r="S2" t="s">
        <v>38</v>
      </c>
      <c r="U2" t="s">
        <v>61</v>
      </c>
      <c r="V2" t="s">
        <v>59</v>
      </c>
    </row>
    <row r="3" spans="1:25" x14ac:dyDescent="0.2">
      <c r="A3" s="6">
        <v>45829</v>
      </c>
      <c r="B3" s="5" t="s">
        <v>39</v>
      </c>
      <c r="C3" s="5" t="s">
        <v>41</v>
      </c>
      <c r="D3" s="5">
        <v>13</v>
      </c>
      <c r="E3" s="5" t="s">
        <v>34</v>
      </c>
      <c r="F3" s="5" t="s">
        <v>42</v>
      </c>
      <c r="G3" s="5" t="s">
        <v>46</v>
      </c>
      <c r="H3" s="5">
        <v>1</v>
      </c>
      <c r="I3" s="5" t="s">
        <v>50</v>
      </c>
      <c r="J3" s="5" t="s">
        <v>53</v>
      </c>
      <c r="K3" s="5">
        <v>91</v>
      </c>
      <c r="Q3" t="s">
        <v>58</v>
      </c>
      <c r="R3" t="s">
        <v>58</v>
      </c>
      <c r="S3" t="s">
        <v>58</v>
      </c>
      <c r="U3" t="s">
        <v>37</v>
      </c>
      <c r="V3" s="3">
        <f>AVERAGEIFS(D2:D32, B2:B32, "Front")</f>
        <v>18</v>
      </c>
      <c r="X3" s="3"/>
      <c r="Y3" s="4"/>
    </row>
    <row r="4" spans="1:25" x14ac:dyDescent="0.2">
      <c r="A4" s="6">
        <v>45830</v>
      </c>
      <c r="B4" s="5" t="s">
        <v>38</v>
      </c>
      <c r="C4" s="5" t="s">
        <v>40</v>
      </c>
      <c r="D4" s="5">
        <v>24</v>
      </c>
      <c r="E4" s="5" t="s">
        <v>35</v>
      </c>
      <c r="F4" s="5" t="s">
        <v>43</v>
      </c>
      <c r="G4" s="5" t="s">
        <v>45</v>
      </c>
      <c r="H4" s="5">
        <v>3</v>
      </c>
      <c r="I4" s="5" t="s">
        <v>51</v>
      </c>
      <c r="J4" s="5" t="s">
        <v>54</v>
      </c>
      <c r="K4" s="5">
        <v>91</v>
      </c>
      <c r="U4" t="s">
        <v>39</v>
      </c>
      <c r="V4" s="4">
        <f>AVERAGEIFS(D2:D32, B2:B32, "Side")</f>
        <v>17.899999999999999</v>
      </c>
      <c r="X4" s="3"/>
      <c r="Y4" s="4"/>
    </row>
    <row r="5" spans="1:25" x14ac:dyDescent="0.2">
      <c r="A5" s="6">
        <v>45831</v>
      </c>
      <c r="B5" s="5" t="s">
        <v>37</v>
      </c>
      <c r="C5" s="5" t="s">
        <v>41</v>
      </c>
      <c r="D5" s="5">
        <v>9</v>
      </c>
      <c r="E5" s="5" t="s">
        <v>36</v>
      </c>
      <c r="F5" s="5" t="s">
        <v>42</v>
      </c>
      <c r="G5" s="5" t="s">
        <v>47</v>
      </c>
      <c r="H5" s="5">
        <v>1</v>
      </c>
      <c r="I5" s="5" t="s">
        <v>50</v>
      </c>
      <c r="J5" s="5" t="s">
        <v>52</v>
      </c>
      <c r="K5" s="5">
        <v>100</v>
      </c>
      <c r="M5" t="s">
        <v>33</v>
      </c>
      <c r="N5">
        <f>AVERAGEIFS(D2:D32, E2:E32, "Dry")</f>
        <v>20.375</v>
      </c>
      <c r="Q5" t="s">
        <v>59</v>
      </c>
      <c r="R5" t="s">
        <v>59</v>
      </c>
      <c r="S5" t="s">
        <v>59</v>
      </c>
      <c r="U5" t="s">
        <v>38</v>
      </c>
      <c r="V5" s="4">
        <f>AVERAGEIFS(D2:D32, B2:B32, "back")</f>
        <v>18.666666666666668</v>
      </c>
      <c r="X5" s="4"/>
      <c r="Y5" s="4"/>
    </row>
    <row r="6" spans="1:25" x14ac:dyDescent="0.2">
      <c r="A6" s="6">
        <v>45832</v>
      </c>
      <c r="B6" s="5" t="s">
        <v>39</v>
      </c>
      <c r="C6" s="5" t="s">
        <v>40</v>
      </c>
      <c r="D6" s="5">
        <v>18</v>
      </c>
      <c r="E6" s="5" t="s">
        <v>34</v>
      </c>
      <c r="F6" s="5" t="s">
        <v>44</v>
      </c>
      <c r="G6" s="5" t="s">
        <v>45</v>
      </c>
      <c r="H6" s="5">
        <v>2</v>
      </c>
      <c r="I6" s="5" t="s">
        <v>50</v>
      </c>
      <c r="J6" s="5" t="s">
        <v>55</v>
      </c>
      <c r="K6" s="5">
        <v>103</v>
      </c>
      <c r="M6" t="s">
        <v>34</v>
      </c>
      <c r="N6">
        <f>AVERAGEIFS(D2:D33, E2:E33, "Moist")</f>
        <v>16.166666666666668</v>
      </c>
    </row>
    <row r="7" spans="1:25" x14ac:dyDescent="0.2">
      <c r="A7" s="6">
        <v>45833</v>
      </c>
      <c r="B7" s="5" t="s">
        <v>38</v>
      </c>
      <c r="C7" s="5" t="s">
        <v>41</v>
      </c>
      <c r="D7" s="5">
        <v>12</v>
      </c>
      <c r="E7" s="5" t="s">
        <v>36</v>
      </c>
      <c r="F7" s="5" t="s">
        <v>42</v>
      </c>
      <c r="G7" s="5" t="s">
        <v>46</v>
      </c>
      <c r="H7" s="5">
        <v>1</v>
      </c>
      <c r="I7" s="5" t="s">
        <v>50</v>
      </c>
      <c r="J7" s="5" t="s">
        <v>53</v>
      </c>
      <c r="K7" s="5">
        <v>101</v>
      </c>
      <c r="M7" t="s">
        <v>36</v>
      </c>
      <c r="N7">
        <f>AVERAGEIFS(D2:D33, E2:E33, "Damp")</f>
        <v>18</v>
      </c>
      <c r="Q7" t="s">
        <v>60</v>
      </c>
      <c r="R7" t="s">
        <v>60</v>
      </c>
      <c r="S7" t="s">
        <v>60</v>
      </c>
    </row>
    <row r="8" spans="1:25" x14ac:dyDescent="0.2">
      <c r="A8" s="6">
        <v>45834</v>
      </c>
      <c r="B8" s="5" t="s">
        <v>37</v>
      </c>
      <c r="C8" s="5" t="s">
        <v>40</v>
      </c>
      <c r="D8" s="5">
        <v>25</v>
      </c>
      <c r="E8" s="5" t="s">
        <v>33</v>
      </c>
      <c r="F8" s="5" t="s">
        <v>43</v>
      </c>
      <c r="G8" s="5" t="s">
        <v>45</v>
      </c>
      <c r="H8" s="5">
        <v>4</v>
      </c>
      <c r="I8" s="5" t="s">
        <v>51</v>
      </c>
      <c r="J8" s="5" t="s">
        <v>52</v>
      </c>
      <c r="K8" s="5">
        <v>90</v>
      </c>
    </row>
    <row r="9" spans="1:25" x14ac:dyDescent="0.2">
      <c r="A9" s="6">
        <v>45835</v>
      </c>
      <c r="B9" s="5" t="s">
        <v>39</v>
      </c>
      <c r="C9" s="5" t="s">
        <v>41</v>
      </c>
      <c r="D9" s="5">
        <v>10</v>
      </c>
      <c r="E9" s="5" t="s">
        <v>34</v>
      </c>
      <c r="F9" s="5" t="s">
        <v>43</v>
      </c>
      <c r="G9" s="5" t="s">
        <v>46</v>
      </c>
      <c r="H9" s="5">
        <v>1</v>
      </c>
      <c r="I9" s="5" t="s">
        <v>50</v>
      </c>
      <c r="J9" s="5" t="s">
        <v>54</v>
      </c>
      <c r="K9" s="5">
        <v>69</v>
      </c>
    </row>
    <row r="10" spans="1:25" x14ac:dyDescent="0.2">
      <c r="A10" s="6">
        <v>45836</v>
      </c>
      <c r="B10" s="5" t="s">
        <v>38</v>
      </c>
      <c r="C10" s="5" t="s">
        <v>40</v>
      </c>
      <c r="D10" s="5">
        <v>19</v>
      </c>
      <c r="E10" s="5" t="s">
        <v>35</v>
      </c>
      <c r="F10" s="5" t="s">
        <v>44</v>
      </c>
      <c r="G10" s="5" t="s">
        <v>48</v>
      </c>
      <c r="H10" s="5">
        <v>3</v>
      </c>
      <c r="I10" s="5" t="s">
        <v>51</v>
      </c>
      <c r="J10" s="5" t="s">
        <v>55</v>
      </c>
      <c r="K10" s="5">
        <v>89</v>
      </c>
    </row>
    <row r="11" spans="1:25" x14ac:dyDescent="0.2">
      <c r="A11" s="6">
        <v>45837</v>
      </c>
      <c r="B11" s="5" t="s">
        <v>37</v>
      </c>
      <c r="C11" s="5" t="s">
        <v>41</v>
      </c>
      <c r="D11" s="5">
        <v>8</v>
      </c>
      <c r="E11" s="5" t="s">
        <v>36</v>
      </c>
      <c r="F11" s="5" t="s">
        <v>42</v>
      </c>
      <c r="G11" s="5" t="s">
        <v>47</v>
      </c>
      <c r="H11" s="5">
        <v>1</v>
      </c>
      <c r="I11" s="5" t="s">
        <v>50</v>
      </c>
      <c r="J11" s="5" t="s">
        <v>52</v>
      </c>
      <c r="K11" s="5">
        <v>94</v>
      </c>
    </row>
    <row r="12" spans="1:25" x14ac:dyDescent="0.2">
      <c r="A12" s="6">
        <v>45838</v>
      </c>
      <c r="B12" s="5" t="s">
        <v>38</v>
      </c>
      <c r="C12" s="5" t="s">
        <v>41</v>
      </c>
      <c r="D12" s="5">
        <v>12</v>
      </c>
      <c r="E12" s="5" t="s">
        <v>36</v>
      </c>
      <c r="F12" s="5" t="s">
        <v>43</v>
      </c>
      <c r="G12" s="5" t="s">
        <v>49</v>
      </c>
      <c r="H12" s="5">
        <v>4</v>
      </c>
      <c r="I12" s="5" t="s">
        <v>50</v>
      </c>
      <c r="J12" s="5" t="s">
        <v>52</v>
      </c>
      <c r="K12" s="5">
        <v>91</v>
      </c>
    </row>
    <row r="13" spans="1:25" x14ac:dyDescent="0.2">
      <c r="A13" s="6">
        <v>45839</v>
      </c>
      <c r="B13" s="5" t="s">
        <v>37</v>
      </c>
      <c r="C13" s="5" t="s">
        <v>56</v>
      </c>
      <c r="D13" s="5">
        <v>25</v>
      </c>
      <c r="E13" s="5" t="s">
        <v>34</v>
      </c>
      <c r="F13" s="5" t="s">
        <v>44</v>
      </c>
      <c r="G13" s="5" t="s">
        <v>49</v>
      </c>
      <c r="H13" s="5">
        <v>5</v>
      </c>
      <c r="I13" s="5" t="s">
        <v>51</v>
      </c>
      <c r="J13" s="5" t="s">
        <v>53</v>
      </c>
      <c r="K13" s="5">
        <v>87</v>
      </c>
    </row>
    <row r="14" spans="1:25" x14ac:dyDescent="0.2">
      <c r="A14" s="6">
        <v>45840</v>
      </c>
      <c r="B14" s="5" t="s">
        <v>39</v>
      </c>
      <c r="C14" s="5" t="s">
        <v>41</v>
      </c>
      <c r="D14" s="5">
        <v>15</v>
      </c>
      <c r="E14" s="5" t="s">
        <v>33</v>
      </c>
      <c r="F14" s="5" t="s">
        <v>44</v>
      </c>
      <c r="G14" s="5" t="s">
        <v>45</v>
      </c>
      <c r="H14" s="5">
        <v>3</v>
      </c>
      <c r="I14" s="5" t="s">
        <v>50</v>
      </c>
      <c r="J14" s="5" t="s">
        <v>52</v>
      </c>
      <c r="K14" s="5">
        <v>85</v>
      </c>
    </row>
    <row r="15" spans="1:25" x14ac:dyDescent="0.2">
      <c r="A15" s="6">
        <v>45841</v>
      </c>
      <c r="B15" s="5" t="s">
        <v>37</v>
      </c>
      <c r="C15" s="5" t="s">
        <v>56</v>
      </c>
      <c r="D15" s="5">
        <v>30</v>
      </c>
      <c r="E15" s="5" t="s">
        <v>36</v>
      </c>
      <c r="F15" s="5" t="s">
        <v>44</v>
      </c>
      <c r="G15" s="5" t="s">
        <v>49</v>
      </c>
      <c r="H15" s="5">
        <v>5</v>
      </c>
      <c r="I15" s="5" t="s">
        <v>51</v>
      </c>
      <c r="J15" s="5" t="s">
        <v>53</v>
      </c>
      <c r="K15" s="5">
        <v>90</v>
      </c>
    </row>
    <row r="16" spans="1:25" x14ac:dyDescent="0.2">
      <c r="A16" s="6">
        <v>45842</v>
      </c>
      <c r="B16" s="5" t="s">
        <v>39</v>
      </c>
      <c r="C16" s="5" t="s">
        <v>40</v>
      </c>
      <c r="D16" s="5">
        <v>25</v>
      </c>
      <c r="E16" s="5" t="s">
        <v>33</v>
      </c>
      <c r="F16" s="5" t="s">
        <v>44</v>
      </c>
      <c r="G16" s="5" t="s">
        <v>45</v>
      </c>
      <c r="H16" s="5">
        <v>2</v>
      </c>
      <c r="I16" s="5" t="s">
        <v>50</v>
      </c>
      <c r="J16" s="5" t="s">
        <v>54</v>
      </c>
      <c r="K16" s="5">
        <v>86</v>
      </c>
    </row>
    <row r="17" spans="1:11" x14ac:dyDescent="0.2">
      <c r="A17" s="6">
        <v>45843</v>
      </c>
      <c r="B17" s="5" t="s">
        <v>37</v>
      </c>
      <c r="C17" s="5" t="s">
        <v>41</v>
      </c>
      <c r="D17" s="5">
        <v>15</v>
      </c>
      <c r="E17" s="5" t="s">
        <v>33</v>
      </c>
      <c r="F17" s="5" t="s">
        <v>42</v>
      </c>
      <c r="G17" s="5" t="s">
        <v>45</v>
      </c>
      <c r="H17" s="5">
        <v>4</v>
      </c>
      <c r="I17" s="5" t="s">
        <v>50</v>
      </c>
      <c r="J17" s="5" t="s">
        <v>53</v>
      </c>
      <c r="K17" s="5">
        <v>91</v>
      </c>
    </row>
    <row r="18" spans="1:11" x14ac:dyDescent="0.2">
      <c r="A18" s="6">
        <v>45844</v>
      </c>
      <c r="B18" s="5" t="s">
        <v>62</v>
      </c>
      <c r="C18" s="5" t="s">
        <v>41</v>
      </c>
      <c r="D18" s="5">
        <v>13</v>
      </c>
      <c r="E18" s="5" t="s">
        <v>34</v>
      </c>
      <c r="F18" s="5" t="s">
        <v>42</v>
      </c>
      <c r="G18" s="5" t="s">
        <v>45</v>
      </c>
      <c r="H18" s="5">
        <v>3</v>
      </c>
      <c r="I18" s="5" t="s">
        <v>50</v>
      </c>
      <c r="J18" s="5" t="s">
        <v>53</v>
      </c>
      <c r="K18" s="5">
        <v>93</v>
      </c>
    </row>
    <row r="19" spans="1:11" x14ac:dyDescent="0.2">
      <c r="A19" s="6">
        <v>45845</v>
      </c>
      <c r="B19" s="5" t="s">
        <v>39</v>
      </c>
      <c r="C19" s="5" t="s">
        <v>40</v>
      </c>
      <c r="D19" s="5">
        <v>21</v>
      </c>
      <c r="E19" s="5" t="s">
        <v>34</v>
      </c>
      <c r="F19" s="5" t="s">
        <v>44</v>
      </c>
      <c r="G19" s="5" t="s">
        <v>46</v>
      </c>
      <c r="H19" s="5">
        <v>2</v>
      </c>
      <c r="I19" s="5" t="s">
        <v>50</v>
      </c>
      <c r="J19" s="5" t="s">
        <v>52</v>
      </c>
      <c r="K19" s="5">
        <v>90</v>
      </c>
    </row>
    <row r="20" spans="1:11" x14ac:dyDescent="0.2">
      <c r="A20" s="6">
        <v>45846</v>
      </c>
      <c r="B20" s="5" t="s">
        <v>37</v>
      </c>
      <c r="C20" s="5" t="s">
        <v>41</v>
      </c>
      <c r="D20" s="5">
        <v>16</v>
      </c>
      <c r="E20" s="5" t="s">
        <v>34</v>
      </c>
      <c r="F20" s="5" t="s">
        <v>42</v>
      </c>
      <c r="G20" s="5" t="s">
        <v>45</v>
      </c>
      <c r="H20" s="5">
        <v>5</v>
      </c>
      <c r="I20" s="5" t="s">
        <v>51</v>
      </c>
      <c r="J20" s="5" t="s">
        <v>54</v>
      </c>
      <c r="K20" s="5">
        <v>93</v>
      </c>
    </row>
    <row r="21" spans="1:11" x14ac:dyDescent="0.2">
      <c r="A21" s="6">
        <v>45847</v>
      </c>
      <c r="B21" s="5" t="s">
        <v>38</v>
      </c>
      <c r="C21" s="5" t="s">
        <v>41</v>
      </c>
      <c r="D21" s="5">
        <v>18</v>
      </c>
      <c r="E21" s="5" t="s">
        <v>36</v>
      </c>
      <c r="F21" s="5" t="s">
        <v>44</v>
      </c>
      <c r="G21" s="5" t="s">
        <v>49</v>
      </c>
      <c r="H21" s="5">
        <v>3</v>
      </c>
      <c r="I21" s="5" t="s">
        <v>51</v>
      </c>
      <c r="J21" s="5" t="s">
        <v>52</v>
      </c>
      <c r="K21" s="5">
        <v>90</v>
      </c>
    </row>
    <row r="22" spans="1:11" x14ac:dyDescent="0.2">
      <c r="A22" s="6">
        <v>45848</v>
      </c>
      <c r="B22" s="5" t="s">
        <v>57</v>
      </c>
      <c r="C22" s="5" t="s">
        <v>40</v>
      </c>
      <c r="D22" s="5">
        <v>30</v>
      </c>
      <c r="E22" s="5" t="s">
        <v>36</v>
      </c>
      <c r="F22" s="5" t="s">
        <v>44</v>
      </c>
      <c r="G22" s="5" t="s">
        <v>46</v>
      </c>
      <c r="H22" s="5">
        <v>2</v>
      </c>
      <c r="I22" s="5" t="s">
        <v>50</v>
      </c>
      <c r="J22" s="5" t="s">
        <v>55</v>
      </c>
      <c r="K22" s="5">
        <v>83</v>
      </c>
    </row>
    <row r="23" spans="1:11" x14ac:dyDescent="0.2">
      <c r="A23" s="6">
        <v>45849</v>
      </c>
      <c r="B23" s="5" t="s">
        <v>39</v>
      </c>
      <c r="C23" s="5" t="s">
        <v>40</v>
      </c>
      <c r="D23" s="5">
        <v>25</v>
      </c>
      <c r="E23" s="5" t="s">
        <v>36</v>
      </c>
      <c r="F23" s="5" t="s">
        <v>42</v>
      </c>
      <c r="G23" s="5" t="s">
        <v>49</v>
      </c>
      <c r="H23" s="5">
        <v>5</v>
      </c>
      <c r="I23" s="5" t="s">
        <v>51</v>
      </c>
      <c r="J23" s="5" t="s">
        <v>55</v>
      </c>
      <c r="K23" s="5">
        <v>87</v>
      </c>
    </row>
    <row r="24" spans="1:11" x14ac:dyDescent="0.2">
      <c r="A24" s="6">
        <v>45850</v>
      </c>
      <c r="B24" s="5" t="s">
        <v>38</v>
      </c>
      <c r="C24" s="5" t="s">
        <v>41</v>
      </c>
      <c r="D24" s="5">
        <v>18</v>
      </c>
      <c r="E24" s="5" t="s">
        <v>34</v>
      </c>
      <c r="F24" s="5" t="s">
        <v>44</v>
      </c>
      <c r="G24" s="5" t="s">
        <v>49</v>
      </c>
      <c r="H24" s="5">
        <v>3</v>
      </c>
      <c r="I24" s="5" t="s">
        <v>51</v>
      </c>
      <c r="J24" s="5" t="s">
        <v>52</v>
      </c>
      <c r="K24" s="5">
        <v>87</v>
      </c>
    </row>
    <row r="25" spans="1:11" x14ac:dyDescent="0.2">
      <c r="A25" s="6">
        <v>45851</v>
      </c>
      <c r="B25" s="5" t="s">
        <v>57</v>
      </c>
      <c r="C25" s="5" t="s">
        <v>63</v>
      </c>
      <c r="D25" s="5">
        <v>20</v>
      </c>
      <c r="E25" s="5" t="s">
        <v>33</v>
      </c>
      <c r="F25" s="5" t="s">
        <v>42</v>
      </c>
      <c r="G25" s="5" t="s">
        <v>45</v>
      </c>
      <c r="H25" s="5">
        <v>2</v>
      </c>
      <c r="I25" s="5" t="s">
        <v>50</v>
      </c>
      <c r="J25" s="5" t="s">
        <v>54</v>
      </c>
      <c r="K25" s="5">
        <v>87</v>
      </c>
    </row>
    <row r="26" spans="1:11" x14ac:dyDescent="0.2">
      <c r="A26" s="6">
        <v>45852</v>
      </c>
      <c r="B26" s="5" t="s">
        <v>38</v>
      </c>
      <c r="C26" s="5" t="s">
        <v>40</v>
      </c>
      <c r="D26" s="5">
        <v>23</v>
      </c>
      <c r="E26" s="5" t="s">
        <v>34</v>
      </c>
      <c r="F26" s="5" t="s">
        <v>42</v>
      </c>
      <c r="G26" s="5" t="s">
        <v>46</v>
      </c>
      <c r="H26" s="5">
        <v>3</v>
      </c>
      <c r="I26" s="5" t="s">
        <v>50</v>
      </c>
      <c r="J26" s="5" t="s">
        <v>53</v>
      </c>
      <c r="K26" s="5">
        <v>86</v>
      </c>
    </row>
    <row r="27" spans="1:11" x14ac:dyDescent="0.2">
      <c r="A27" s="6">
        <v>45853</v>
      </c>
      <c r="B27" s="5" t="s">
        <v>39</v>
      </c>
      <c r="C27" s="5" t="s">
        <v>40</v>
      </c>
      <c r="D27" s="5">
        <v>28</v>
      </c>
      <c r="E27" s="5" t="s">
        <v>35</v>
      </c>
      <c r="F27" s="5" t="s">
        <v>44</v>
      </c>
      <c r="G27" s="5" t="s">
        <v>45</v>
      </c>
      <c r="H27" s="5">
        <v>3</v>
      </c>
      <c r="I27" s="5" t="s">
        <v>51</v>
      </c>
      <c r="J27" s="5" t="s">
        <v>52</v>
      </c>
      <c r="K27" s="5">
        <v>86</v>
      </c>
    </row>
    <row r="28" spans="1:11" x14ac:dyDescent="0.2">
      <c r="A28" s="6">
        <v>45854</v>
      </c>
      <c r="B28" s="5" t="s">
        <v>39</v>
      </c>
      <c r="C28" s="5" t="s">
        <v>41</v>
      </c>
      <c r="D28" s="5">
        <v>14</v>
      </c>
      <c r="E28" s="5" t="s">
        <v>34</v>
      </c>
      <c r="F28" s="5" t="s">
        <v>44</v>
      </c>
      <c r="G28" s="5" t="s">
        <v>45</v>
      </c>
      <c r="H28" s="5">
        <v>1</v>
      </c>
      <c r="I28" s="5" t="s">
        <v>50</v>
      </c>
      <c r="J28" s="5" t="s">
        <v>53</v>
      </c>
      <c r="K28" s="5">
        <v>87</v>
      </c>
    </row>
    <row r="29" spans="1:11" x14ac:dyDescent="0.2">
      <c r="A29" s="6">
        <v>45855</v>
      </c>
      <c r="B29" s="5" t="s">
        <v>38</v>
      </c>
      <c r="C29" s="5" t="s">
        <v>40</v>
      </c>
      <c r="D29" s="5">
        <v>23</v>
      </c>
      <c r="E29" s="5" t="s">
        <v>33</v>
      </c>
      <c r="F29" s="5" t="s">
        <v>44</v>
      </c>
      <c r="G29" s="5" t="s">
        <v>45</v>
      </c>
      <c r="H29" s="5">
        <v>3</v>
      </c>
      <c r="I29" s="5" t="s">
        <v>50</v>
      </c>
      <c r="J29" s="5" t="s">
        <v>55</v>
      </c>
      <c r="K29" s="5">
        <v>87</v>
      </c>
    </row>
    <row r="30" spans="1:11" x14ac:dyDescent="0.2">
      <c r="A30" s="6">
        <v>45856</v>
      </c>
      <c r="B30" s="5" t="s">
        <v>39</v>
      </c>
      <c r="C30" s="5" t="s">
        <v>41</v>
      </c>
      <c r="D30" s="5">
        <v>10</v>
      </c>
      <c r="E30" s="5" t="s">
        <v>34</v>
      </c>
      <c r="F30" s="5" t="s">
        <v>42</v>
      </c>
      <c r="G30" s="5" t="s">
        <v>45</v>
      </c>
      <c r="H30" s="5">
        <v>3</v>
      </c>
      <c r="I30" s="5" t="s">
        <v>51</v>
      </c>
      <c r="J30" s="5" t="s">
        <v>52</v>
      </c>
      <c r="K30" s="5">
        <v>84</v>
      </c>
    </row>
    <row r="31" spans="1:11" x14ac:dyDescent="0.2">
      <c r="A31" s="6">
        <v>45857</v>
      </c>
      <c r="B31" s="5" t="s">
        <v>38</v>
      </c>
      <c r="C31" s="5" t="s">
        <v>40</v>
      </c>
      <c r="D31" s="5">
        <v>19</v>
      </c>
      <c r="E31" s="5" t="s">
        <v>33</v>
      </c>
      <c r="F31" s="5" t="s">
        <v>44</v>
      </c>
      <c r="G31" s="5" t="s">
        <v>45</v>
      </c>
      <c r="H31" s="5">
        <v>3</v>
      </c>
      <c r="I31" s="5" t="s">
        <v>50</v>
      </c>
      <c r="J31" s="5" t="s">
        <v>53</v>
      </c>
      <c r="K31" s="5">
        <v>82</v>
      </c>
    </row>
    <row r="32" spans="1:11" x14ac:dyDescent="0.2">
      <c r="A32" s="6">
        <v>45858</v>
      </c>
      <c r="B32" s="5" t="s">
        <v>37</v>
      </c>
      <c r="C32" s="5" t="s">
        <v>40</v>
      </c>
      <c r="D32" s="5">
        <v>13</v>
      </c>
      <c r="E32" s="5" t="s">
        <v>34</v>
      </c>
      <c r="F32" s="5" t="s">
        <v>42</v>
      </c>
      <c r="G32" s="5" t="s">
        <v>45</v>
      </c>
      <c r="H32" s="5">
        <v>4</v>
      </c>
      <c r="I32" s="5" t="s">
        <v>50</v>
      </c>
      <c r="J32" s="5" t="s">
        <v>54</v>
      </c>
      <c r="K32" s="5">
        <v>86</v>
      </c>
    </row>
    <row r="33" spans="1:4" x14ac:dyDescent="0.2">
      <c r="A33" s="1"/>
    </row>
    <row r="34" spans="1:4" x14ac:dyDescent="0.2">
      <c r="A34" s="1"/>
    </row>
    <row r="35" spans="1:4" x14ac:dyDescent="0.2">
      <c r="A35" s="1"/>
    </row>
    <row r="36" spans="1:4" x14ac:dyDescent="0.2">
      <c r="A36" s="1"/>
    </row>
    <row r="37" spans="1:4" x14ac:dyDescent="0.2">
      <c r="A37" s="1"/>
      <c r="C37" t="s">
        <v>64</v>
      </c>
      <c r="D37" t="s">
        <v>65</v>
      </c>
    </row>
    <row r="38" spans="1:4" x14ac:dyDescent="0.2">
      <c r="C38">
        <f>AVERAGE(D2:D32)</f>
        <v>18.451612903225808</v>
      </c>
      <c r="D38">
        <f>STDEV(D2:D32)</f>
        <v>6.2760853493103461</v>
      </c>
    </row>
    <row r="42" spans="1:4" x14ac:dyDescent="0.2">
      <c r="C42" t="s">
        <v>66</v>
      </c>
      <c r="D42" t="s">
        <v>67</v>
      </c>
    </row>
    <row r="43" spans="1:4" x14ac:dyDescent="0.2">
      <c r="C43">
        <f>MAX(D2:D32)</f>
        <v>30</v>
      </c>
      <c r="D43">
        <f>MIN(D2:D32)</f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A77A-9DE0-BB4F-8569-2BFE8AB44CBD}">
  <dimension ref="A1:S55"/>
  <sheetViews>
    <sheetView tabSelected="1" zoomScale="75" zoomScaleNormal="75" workbookViewId="0">
      <selection activeCell="B43" sqref="B43"/>
    </sheetView>
  </sheetViews>
  <sheetFormatPr baseColWidth="10" defaultRowHeight="16" x14ac:dyDescent="0.2"/>
  <sheetData>
    <row r="1" spans="1:15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9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28</v>
      </c>
      <c r="M1" t="s">
        <v>24</v>
      </c>
    </row>
    <row r="2" spans="1:15" x14ac:dyDescent="0.2">
      <c r="A2" s="1">
        <v>45828</v>
      </c>
      <c r="B2" t="s">
        <v>37</v>
      </c>
      <c r="C2" t="s">
        <v>40</v>
      </c>
      <c r="D2">
        <v>21</v>
      </c>
      <c r="E2" t="s">
        <v>33</v>
      </c>
      <c r="F2" t="s">
        <v>44</v>
      </c>
      <c r="G2" t="s">
        <v>45</v>
      </c>
      <c r="H2">
        <v>2</v>
      </c>
      <c r="I2" t="s">
        <v>50</v>
      </c>
      <c r="J2" t="s">
        <v>52</v>
      </c>
      <c r="K2">
        <v>85</v>
      </c>
      <c r="L2" t="str">
        <f>PROPER(TRIM(G2))</f>
        <v>Sunny</v>
      </c>
      <c r="M2" t="str">
        <f>PROPER(TRIM(B2))</f>
        <v>Front</v>
      </c>
    </row>
    <row r="3" spans="1:15" x14ac:dyDescent="0.2">
      <c r="A3" s="1">
        <v>45829</v>
      </c>
      <c r="B3" t="s">
        <v>39</v>
      </c>
      <c r="C3" t="s">
        <v>41</v>
      </c>
      <c r="D3">
        <v>13</v>
      </c>
      <c r="E3" t="s">
        <v>34</v>
      </c>
      <c r="F3" t="s">
        <v>42</v>
      </c>
      <c r="G3" t="s">
        <v>46</v>
      </c>
      <c r="H3">
        <v>1</v>
      </c>
      <c r="I3" t="s">
        <v>50</v>
      </c>
      <c r="J3" t="s">
        <v>53</v>
      </c>
      <c r="K3">
        <v>91</v>
      </c>
      <c r="L3" t="str">
        <f t="shared" ref="L3:L32" si="0">PROPER(TRIM(G3))</f>
        <v>Cloudy</v>
      </c>
      <c r="M3" t="str">
        <f t="shared" ref="M3:M32" si="1">PROPER(TRIM(B3))</f>
        <v>Side</v>
      </c>
    </row>
    <row r="4" spans="1:15" x14ac:dyDescent="0.2">
      <c r="A4" s="1">
        <v>45830</v>
      </c>
      <c r="B4" t="s">
        <v>38</v>
      </c>
      <c r="C4" t="s">
        <v>40</v>
      </c>
      <c r="D4">
        <v>24</v>
      </c>
      <c r="E4" t="s">
        <v>35</v>
      </c>
      <c r="F4" t="s">
        <v>43</v>
      </c>
      <c r="G4" t="s">
        <v>45</v>
      </c>
      <c r="H4">
        <v>3</v>
      </c>
      <c r="I4" t="s">
        <v>51</v>
      </c>
      <c r="J4" t="s">
        <v>54</v>
      </c>
      <c r="K4">
        <v>91</v>
      </c>
      <c r="L4" t="str">
        <f t="shared" si="0"/>
        <v>Sunny</v>
      </c>
      <c r="M4" t="str">
        <f t="shared" si="1"/>
        <v>Back</v>
      </c>
      <c r="N4" t="s">
        <v>72</v>
      </c>
      <c r="O4">
        <f>COUNTIF(I2:I32, "Yes")</f>
        <v>11</v>
      </c>
    </row>
    <row r="5" spans="1:15" x14ac:dyDescent="0.2">
      <c r="A5" s="1">
        <v>45831</v>
      </c>
      <c r="B5" t="s">
        <v>37</v>
      </c>
      <c r="C5" t="s">
        <v>41</v>
      </c>
      <c r="D5">
        <v>9</v>
      </c>
      <c r="E5" t="s">
        <v>36</v>
      </c>
      <c r="F5" t="s">
        <v>42</v>
      </c>
      <c r="G5" t="s">
        <v>47</v>
      </c>
      <c r="H5">
        <v>1</v>
      </c>
      <c r="I5" t="s">
        <v>50</v>
      </c>
      <c r="J5" t="s">
        <v>52</v>
      </c>
      <c r="K5">
        <v>100</v>
      </c>
      <c r="L5" t="str">
        <f t="shared" si="0"/>
        <v>Overcast</v>
      </c>
      <c r="M5" t="str">
        <f t="shared" si="1"/>
        <v>Front</v>
      </c>
      <c r="N5" t="s">
        <v>73</v>
      </c>
      <c r="O5">
        <f>COUNTIF(I2:I33, "No")</f>
        <v>20</v>
      </c>
    </row>
    <row r="6" spans="1:15" x14ac:dyDescent="0.2">
      <c r="A6" s="1">
        <v>45832</v>
      </c>
      <c r="B6" t="s">
        <v>39</v>
      </c>
      <c r="C6" t="s">
        <v>40</v>
      </c>
      <c r="D6">
        <v>18</v>
      </c>
      <c r="E6" t="s">
        <v>34</v>
      </c>
      <c r="F6" t="s">
        <v>44</v>
      </c>
      <c r="G6" t="s">
        <v>45</v>
      </c>
      <c r="H6">
        <v>2</v>
      </c>
      <c r="I6" t="s">
        <v>50</v>
      </c>
      <c r="J6" t="s">
        <v>55</v>
      </c>
      <c r="K6">
        <v>103</v>
      </c>
      <c r="L6" t="str">
        <f t="shared" si="0"/>
        <v>Sunny</v>
      </c>
      <c r="M6" t="str">
        <f t="shared" si="1"/>
        <v>Side</v>
      </c>
    </row>
    <row r="7" spans="1:15" x14ac:dyDescent="0.2">
      <c r="A7" s="1">
        <v>45833</v>
      </c>
      <c r="B7" t="s">
        <v>38</v>
      </c>
      <c r="C7" t="s">
        <v>41</v>
      </c>
      <c r="D7">
        <v>12</v>
      </c>
      <c r="E7" t="s">
        <v>36</v>
      </c>
      <c r="F7" t="s">
        <v>42</v>
      </c>
      <c r="G7" t="s">
        <v>46</v>
      </c>
      <c r="H7">
        <v>1</v>
      </c>
      <c r="I7" t="s">
        <v>50</v>
      </c>
      <c r="J7" t="s">
        <v>53</v>
      </c>
      <c r="K7">
        <v>101</v>
      </c>
      <c r="L7" t="str">
        <f t="shared" si="0"/>
        <v>Cloudy</v>
      </c>
      <c r="M7" t="str">
        <f t="shared" si="1"/>
        <v>Back</v>
      </c>
    </row>
    <row r="8" spans="1:15" x14ac:dyDescent="0.2">
      <c r="A8" s="1">
        <v>45834</v>
      </c>
      <c r="B8" t="s">
        <v>37</v>
      </c>
      <c r="C8" t="s">
        <v>40</v>
      </c>
      <c r="D8">
        <v>25</v>
      </c>
      <c r="E8" t="s">
        <v>33</v>
      </c>
      <c r="F8" t="s">
        <v>43</v>
      </c>
      <c r="G8" t="s">
        <v>45</v>
      </c>
      <c r="H8">
        <v>4</v>
      </c>
      <c r="I8" t="s">
        <v>51</v>
      </c>
      <c r="J8" t="s">
        <v>52</v>
      </c>
      <c r="K8">
        <v>90</v>
      </c>
      <c r="L8" t="str">
        <f t="shared" si="0"/>
        <v>Sunny</v>
      </c>
      <c r="M8" t="str">
        <f t="shared" si="1"/>
        <v>Front</v>
      </c>
    </row>
    <row r="9" spans="1:15" x14ac:dyDescent="0.2">
      <c r="A9" s="1">
        <v>45835</v>
      </c>
      <c r="B9" t="s">
        <v>39</v>
      </c>
      <c r="C9" t="s">
        <v>41</v>
      </c>
      <c r="D9">
        <v>10</v>
      </c>
      <c r="E9" t="s">
        <v>34</v>
      </c>
      <c r="F9" t="s">
        <v>43</v>
      </c>
      <c r="G9" t="s">
        <v>46</v>
      </c>
      <c r="H9">
        <v>1</v>
      </c>
      <c r="I9" t="s">
        <v>50</v>
      </c>
      <c r="J9" t="s">
        <v>54</v>
      </c>
      <c r="K9">
        <v>69</v>
      </c>
      <c r="L9" t="str">
        <f t="shared" si="0"/>
        <v>Cloudy</v>
      </c>
      <c r="M9" t="str">
        <f t="shared" si="1"/>
        <v>Side</v>
      </c>
    </row>
    <row r="10" spans="1:15" x14ac:dyDescent="0.2">
      <c r="A10" s="1">
        <v>45836</v>
      </c>
      <c r="B10" t="s">
        <v>38</v>
      </c>
      <c r="C10" t="s">
        <v>40</v>
      </c>
      <c r="D10">
        <v>19</v>
      </c>
      <c r="E10" t="s">
        <v>35</v>
      </c>
      <c r="F10" t="s">
        <v>44</v>
      </c>
      <c r="G10" t="s">
        <v>45</v>
      </c>
      <c r="H10">
        <v>3</v>
      </c>
      <c r="I10" t="s">
        <v>51</v>
      </c>
      <c r="J10" t="s">
        <v>55</v>
      </c>
      <c r="K10">
        <v>89</v>
      </c>
      <c r="L10" t="str">
        <f t="shared" si="0"/>
        <v>Sunny</v>
      </c>
      <c r="M10" t="str">
        <f t="shared" si="1"/>
        <v>Back</v>
      </c>
    </row>
    <row r="11" spans="1:15" x14ac:dyDescent="0.2">
      <c r="A11" s="1">
        <v>45837</v>
      </c>
      <c r="B11" t="s">
        <v>37</v>
      </c>
      <c r="C11" t="s">
        <v>41</v>
      </c>
      <c r="D11">
        <v>8</v>
      </c>
      <c r="E11" t="s">
        <v>36</v>
      </c>
      <c r="F11" t="s">
        <v>42</v>
      </c>
      <c r="G11" t="s">
        <v>47</v>
      </c>
      <c r="H11">
        <v>1</v>
      </c>
      <c r="I11" t="s">
        <v>50</v>
      </c>
      <c r="J11" t="s">
        <v>52</v>
      </c>
      <c r="K11">
        <v>94</v>
      </c>
      <c r="L11" t="str">
        <f t="shared" si="0"/>
        <v>Overcast</v>
      </c>
      <c r="M11" t="str">
        <f t="shared" si="1"/>
        <v>Front</v>
      </c>
    </row>
    <row r="12" spans="1:15" x14ac:dyDescent="0.2">
      <c r="A12" s="1">
        <v>45838</v>
      </c>
      <c r="B12" t="s">
        <v>38</v>
      </c>
      <c r="C12" t="s">
        <v>41</v>
      </c>
      <c r="D12">
        <v>12</v>
      </c>
      <c r="E12" t="s">
        <v>36</v>
      </c>
      <c r="F12" t="s">
        <v>43</v>
      </c>
      <c r="G12" t="s">
        <v>49</v>
      </c>
      <c r="H12">
        <v>4</v>
      </c>
      <c r="I12" t="s">
        <v>50</v>
      </c>
      <c r="J12" t="s">
        <v>52</v>
      </c>
      <c r="K12">
        <v>91</v>
      </c>
      <c r="L12" t="str">
        <f t="shared" si="0"/>
        <v>Rainy</v>
      </c>
      <c r="M12" t="str">
        <f t="shared" si="1"/>
        <v>Back</v>
      </c>
    </row>
    <row r="13" spans="1:15" x14ac:dyDescent="0.2">
      <c r="A13" s="1">
        <v>45839</v>
      </c>
      <c r="B13" t="s">
        <v>37</v>
      </c>
      <c r="C13" t="s">
        <v>56</v>
      </c>
      <c r="D13">
        <v>25</v>
      </c>
      <c r="E13" t="s">
        <v>34</v>
      </c>
      <c r="F13" t="s">
        <v>44</v>
      </c>
      <c r="G13" t="s">
        <v>49</v>
      </c>
      <c r="H13">
        <v>5</v>
      </c>
      <c r="I13" t="s">
        <v>51</v>
      </c>
      <c r="J13" t="s">
        <v>53</v>
      </c>
      <c r="K13">
        <v>87</v>
      </c>
      <c r="L13" t="str">
        <f t="shared" si="0"/>
        <v>Rainy</v>
      </c>
      <c r="M13" t="str">
        <f t="shared" si="1"/>
        <v>Front</v>
      </c>
    </row>
    <row r="14" spans="1:15" x14ac:dyDescent="0.2">
      <c r="A14" s="1">
        <v>45840</v>
      </c>
      <c r="B14" t="s">
        <v>39</v>
      </c>
      <c r="C14" t="s">
        <v>41</v>
      </c>
      <c r="D14">
        <v>15</v>
      </c>
      <c r="E14" t="s">
        <v>33</v>
      </c>
      <c r="F14" t="s">
        <v>44</v>
      </c>
      <c r="G14" t="s">
        <v>45</v>
      </c>
      <c r="H14">
        <v>3</v>
      </c>
      <c r="I14" t="s">
        <v>50</v>
      </c>
      <c r="J14" t="s">
        <v>52</v>
      </c>
      <c r="K14">
        <v>85</v>
      </c>
      <c r="L14" t="str">
        <f t="shared" si="0"/>
        <v>Sunny</v>
      </c>
      <c r="M14" t="str">
        <f t="shared" si="1"/>
        <v>Side</v>
      </c>
    </row>
    <row r="15" spans="1:15" x14ac:dyDescent="0.2">
      <c r="A15" s="1">
        <v>45841</v>
      </c>
      <c r="B15" t="s">
        <v>37</v>
      </c>
      <c r="C15" t="s">
        <v>56</v>
      </c>
      <c r="D15">
        <v>30</v>
      </c>
      <c r="E15" t="s">
        <v>36</v>
      </c>
      <c r="F15" t="s">
        <v>44</v>
      </c>
      <c r="G15" t="s">
        <v>49</v>
      </c>
      <c r="H15">
        <v>5</v>
      </c>
      <c r="I15" t="s">
        <v>51</v>
      </c>
      <c r="J15" t="s">
        <v>53</v>
      </c>
      <c r="K15">
        <v>90</v>
      </c>
      <c r="L15" t="str">
        <f t="shared" si="0"/>
        <v>Rainy</v>
      </c>
      <c r="M15" t="str">
        <f t="shared" si="1"/>
        <v>Front</v>
      </c>
    </row>
    <row r="16" spans="1:15" x14ac:dyDescent="0.2">
      <c r="A16" s="1">
        <v>45842</v>
      </c>
      <c r="B16" t="s">
        <v>39</v>
      </c>
      <c r="C16" t="s">
        <v>40</v>
      </c>
      <c r="D16">
        <v>25</v>
      </c>
      <c r="E16" t="s">
        <v>33</v>
      </c>
      <c r="F16" t="s">
        <v>44</v>
      </c>
      <c r="G16" t="s">
        <v>45</v>
      </c>
      <c r="H16">
        <v>2</v>
      </c>
      <c r="I16" t="s">
        <v>50</v>
      </c>
      <c r="J16" t="s">
        <v>54</v>
      </c>
      <c r="K16">
        <v>86</v>
      </c>
      <c r="L16" t="str">
        <f t="shared" si="0"/>
        <v>Sunny</v>
      </c>
      <c r="M16" t="str">
        <f t="shared" si="1"/>
        <v>Side</v>
      </c>
    </row>
    <row r="17" spans="1:15" x14ac:dyDescent="0.2">
      <c r="A17" s="1">
        <v>45843</v>
      </c>
      <c r="B17" t="s">
        <v>37</v>
      </c>
      <c r="C17" t="s">
        <v>41</v>
      </c>
      <c r="D17">
        <v>15</v>
      </c>
      <c r="E17" t="s">
        <v>33</v>
      </c>
      <c r="F17" t="s">
        <v>42</v>
      </c>
      <c r="G17" t="s">
        <v>45</v>
      </c>
      <c r="H17">
        <v>4</v>
      </c>
      <c r="I17" t="s">
        <v>50</v>
      </c>
      <c r="J17" t="s">
        <v>53</v>
      </c>
      <c r="K17">
        <v>91</v>
      </c>
      <c r="L17" t="str">
        <f t="shared" si="0"/>
        <v>Sunny</v>
      </c>
      <c r="M17" t="str">
        <f t="shared" si="1"/>
        <v>Front</v>
      </c>
    </row>
    <row r="18" spans="1:15" x14ac:dyDescent="0.2">
      <c r="A18" s="1">
        <v>45844</v>
      </c>
      <c r="B18" t="s">
        <v>62</v>
      </c>
      <c r="C18" t="s">
        <v>41</v>
      </c>
      <c r="D18">
        <v>13</v>
      </c>
      <c r="E18" t="s">
        <v>34</v>
      </c>
      <c r="F18" t="s">
        <v>42</v>
      </c>
      <c r="G18" t="s">
        <v>45</v>
      </c>
      <c r="H18">
        <v>3</v>
      </c>
      <c r="I18" t="s">
        <v>50</v>
      </c>
      <c r="J18" t="s">
        <v>53</v>
      </c>
      <c r="K18">
        <v>93</v>
      </c>
      <c r="L18" t="str">
        <f t="shared" si="0"/>
        <v>Sunny</v>
      </c>
      <c r="M18" t="str">
        <f t="shared" si="1"/>
        <v>Back</v>
      </c>
    </row>
    <row r="19" spans="1:15" x14ac:dyDescent="0.2">
      <c r="A19" s="1">
        <v>45845</v>
      </c>
      <c r="B19" t="s">
        <v>39</v>
      </c>
      <c r="C19" t="s">
        <v>40</v>
      </c>
      <c r="D19">
        <v>21</v>
      </c>
      <c r="E19" t="s">
        <v>34</v>
      </c>
      <c r="F19" t="s">
        <v>44</v>
      </c>
      <c r="G19" t="s">
        <v>46</v>
      </c>
      <c r="H19">
        <v>2</v>
      </c>
      <c r="I19" t="s">
        <v>50</v>
      </c>
      <c r="J19" t="s">
        <v>52</v>
      </c>
      <c r="K19">
        <v>90</v>
      </c>
      <c r="L19" t="str">
        <f t="shared" si="0"/>
        <v>Cloudy</v>
      </c>
      <c r="M19" t="str">
        <f t="shared" si="1"/>
        <v>Side</v>
      </c>
    </row>
    <row r="20" spans="1:15" x14ac:dyDescent="0.2">
      <c r="A20" s="1">
        <v>45846</v>
      </c>
      <c r="B20" t="s">
        <v>37</v>
      </c>
      <c r="C20" t="s">
        <v>41</v>
      </c>
      <c r="D20">
        <v>16</v>
      </c>
      <c r="E20" t="s">
        <v>34</v>
      </c>
      <c r="F20" t="s">
        <v>42</v>
      </c>
      <c r="G20" t="s">
        <v>45</v>
      </c>
      <c r="H20">
        <v>5</v>
      </c>
      <c r="I20" t="s">
        <v>51</v>
      </c>
      <c r="J20" t="s">
        <v>54</v>
      </c>
      <c r="K20">
        <v>93</v>
      </c>
      <c r="L20" t="str">
        <f t="shared" si="0"/>
        <v>Sunny</v>
      </c>
      <c r="M20" t="str">
        <f t="shared" si="1"/>
        <v>Front</v>
      </c>
    </row>
    <row r="21" spans="1:15" x14ac:dyDescent="0.2">
      <c r="A21" s="1">
        <v>45847</v>
      </c>
      <c r="B21" t="s">
        <v>38</v>
      </c>
      <c r="C21" t="s">
        <v>41</v>
      </c>
      <c r="D21">
        <v>18</v>
      </c>
      <c r="E21" t="s">
        <v>36</v>
      </c>
      <c r="F21" t="s">
        <v>44</v>
      </c>
      <c r="G21" t="s">
        <v>49</v>
      </c>
      <c r="H21">
        <v>3</v>
      </c>
      <c r="I21" t="s">
        <v>51</v>
      </c>
      <c r="J21" t="s">
        <v>52</v>
      </c>
      <c r="K21">
        <v>90</v>
      </c>
      <c r="L21" t="str">
        <f t="shared" si="0"/>
        <v>Rainy</v>
      </c>
      <c r="M21" t="str">
        <f t="shared" si="1"/>
        <v>Back</v>
      </c>
    </row>
    <row r="22" spans="1:15" x14ac:dyDescent="0.2">
      <c r="A22" s="1">
        <v>45848</v>
      </c>
      <c r="B22" t="s">
        <v>57</v>
      </c>
      <c r="C22" t="s">
        <v>40</v>
      </c>
      <c r="D22">
        <v>30</v>
      </c>
      <c r="E22" t="s">
        <v>36</v>
      </c>
      <c r="F22" t="s">
        <v>44</v>
      </c>
      <c r="G22" t="s">
        <v>46</v>
      </c>
      <c r="H22">
        <v>2</v>
      </c>
      <c r="I22" t="s">
        <v>50</v>
      </c>
      <c r="J22" t="s">
        <v>55</v>
      </c>
      <c r="K22">
        <v>83</v>
      </c>
      <c r="L22" t="str">
        <f t="shared" si="0"/>
        <v>Cloudy</v>
      </c>
      <c r="M22" t="str">
        <f t="shared" si="1"/>
        <v>Front</v>
      </c>
    </row>
    <row r="23" spans="1:15" x14ac:dyDescent="0.2">
      <c r="A23" s="1">
        <v>45849</v>
      </c>
      <c r="B23" t="s">
        <v>39</v>
      </c>
      <c r="C23" t="s">
        <v>40</v>
      </c>
      <c r="D23">
        <v>25</v>
      </c>
      <c r="E23" t="s">
        <v>36</v>
      </c>
      <c r="F23" t="s">
        <v>42</v>
      </c>
      <c r="G23" t="s">
        <v>49</v>
      </c>
      <c r="H23">
        <v>5</v>
      </c>
      <c r="I23" t="s">
        <v>51</v>
      </c>
      <c r="J23" t="s">
        <v>55</v>
      </c>
      <c r="K23">
        <v>87</v>
      </c>
      <c r="L23" t="str">
        <f t="shared" si="0"/>
        <v>Rainy</v>
      </c>
      <c r="M23" t="str">
        <f t="shared" si="1"/>
        <v>Side</v>
      </c>
    </row>
    <row r="24" spans="1:15" x14ac:dyDescent="0.2">
      <c r="A24" s="1">
        <v>45850</v>
      </c>
      <c r="B24" t="s">
        <v>38</v>
      </c>
      <c r="C24" t="s">
        <v>41</v>
      </c>
      <c r="D24">
        <v>18</v>
      </c>
      <c r="E24" t="s">
        <v>34</v>
      </c>
      <c r="F24" t="s">
        <v>44</v>
      </c>
      <c r="G24" t="s">
        <v>49</v>
      </c>
      <c r="H24">
        <v>3</v>
      </c>
      <c r="I24" t="s">
        <v>51</v>
      </c>
      <c r="J24" t="s">
        <v>52</v>
      </c>
      <c r="K24">
        <v>87</v>
      </c>
      <c r="L24" t="str">
        <f t="shared" si="0"/>
        <v>Rainy</v>
      </c>
      <c r="M24" t="str">
        <f t="shared" si="1"/>
        <v>Back</v>
      </c>
    </row>
    <row r="25" spans="1:15" x14ac:dyDescent="0.2">
      <c r="A25" s="1">
        <v>45851</v>
      </c>
      <c r="B25" t="s">
        <v>57</v>
      </c>
      <c r="C25" t="s">
        <v>63</v>
      </c>
      <c r="D25">
        <v>20</v>
      </c>
      <c r="E25" t="s">
        <v>33</v>
      </c>
      <c r="F25" t="s">
        <v>42</v>
      </c>
      <c r="G25" t="s">
        <v>45</v>
      </c>
      <c r="H25">
        <v>2</v>
      </c>
      <c r="I25" t="s">
        <v>50</v>
      </c>
      <c r="J25" t="s">
        <v>54</v>
      </c>
      <c r="K25">
        <v>87</v>
      </c>
      <c r="L25" t="str">
        <f t="shared" si="0"/>
        <v>Sunny</v>
      </c>
      <c r="M25" t="str">
        <f t="shared" si="1"/>
        <v>Front</v>
      </c>
    </row>
    <row r="26" spans="1:15" x14ac:dyDescent="0.2">
      <c r="A26" s="1">
        <v>45852</v>
      </c>
      <c r="B26" t="s">
        <v>38</v>
      </c>
      <c r="C26" t="s">
        <v>40</v>
      </c>
      <c r="D26">
        <v>23</v>
      </c>
      <c r="E26" t="s">
        <v>34</v>
      </c>
      <c r="F26" t="s">
        <v>42</v>
      </c>
      <c r="G26" t="s">
        <v>46</v>
      </c>
      <c r="H26">
        <v>3</v>
      </c>
      <c r="I26" t="s">
        <v>50</v>
      </c>
      <c r="J26" t="s">
        <v>53</v>
      </c>
      <c r="K26">
        <v>86</v>
      </c>
      <c r="L26" t="str">
        <f t="shared" si="0"/>
        <v>Cloudy</v>
      </c>
      <c r="M26" t="str">
        <f t="shared" si="1"/>
        <v>Back</v>
      </c>
    </row>
    <row r="27" spans="1:15" x14ac:dyDescent="0.2">
      <c r="A27" s="1">
        <v>45853</v>
      </c>
      <c r="B27" t="s">
        <v>39</v>
      </c>
      <c r="C27" t="s">
        <v>40</v>
      </c>
      <c r="D27">
        <v>28</v>
      </c>
      <c r="E27" t="s">
        <v>35</v>
      </c>
      <c r="F27" t="s">
        <v>44</v>
      </c>
      <c r="G27" t="s">
        <v>45</v>
      </c>
      <c r="H27">
        <v>3</v>
      </c>
      <c r="I27" t="s">
        <v>51</v>
      </c>
      <c r="J27" t="s">
        <v>52</v>
      </c>
      <c r="K27">
        <v>86</v>
      </c>
      <c r="L27" t="str">
        <f t="shared" si="0"/>
        <v>Sunny</v>
      </c>
      <c r="M27" t="str">
        <f t="shared" si="1"/>
        <v>Side</v>
      </c>
    </row>
    <row r="28" spans="1:15" x14ac:dyDescent="0.2">
      <c r="A28" s="1">
        <v>45854</v>
      </c>
      <c r="B28" t="s">
        <v>39</v>
      </c>
      <c r="C28" t="s">
        <v>41</v>
      </c>
      <c r="D28">
        <v>14</v>
      </c>
      <c r="E28" t="s">
        <v>34</v>
      </c>
      <c r="F28" t="s">
        <v>44</v>
      </c>
      <c r="G28" t="s">
        <v>45</v>
      </c>
      <c r="H28">
        <v>1</v>
      </c>
      <c r="I28" t="s">
        <v>50</v>
      </c>
      <c r="J28" t="s">
        <v>53</v>
      </c>
      <c r="K28">
        <v>87</v>
      </c>
      <c r="L28" t="str">
        <f t="shared" si="0"/>
        <v>Sunny</v>
      </c>
      <c r="M28" t="str">
        <f t="shared" si="1"/>
        <v>Side</v>
      </c>
      <c r="N28" t="s">
        <v>68</v>
      </c>
      <c r="O28">
        <f>COUNTIF(J2:J32, "Crabgrass")</f>
        <v>9</v>
      </c>
    </row>
    <row r="29" spans="1:15" x14ac:dyDescent="0.2">
      <c r="A29" s="1">
        <v>45855</v>
      </c>
      <c r="B29" t="s">
        <v>38</v>
      </c>
      <c r="C29" t="s">
        <v>40</v>
      </c>
      <c r="D29">
        <v>23</v>
      </c>
      <c r="E29" t="s">
        <v>33</v>
      </c>
      <c r="F29" t="s">
        <v>44</v>
      </c>
      <c r="G29" t="s">
        <v>45</v>
      </c>
      <c r="H29">
        <v>3</v>
      </c>
      <c r="I29" t="s">
        <v>50</v>
      </c>
      <c r="J29" t="s">
        <v>55</v>
      </c>
      <c r="K29">
        <v>87</v>
      </c>
      <c r="L29" t="str">
        <f t="shared" si="0"/>
        <v>Sunny</v>
      </c>
      <c r="M29" t="str">
        <f t="shared" si="1"/>
        <v>Back</v>
      </c>
      <c r="N29" t="s">
        <v>69</v>
      </c>
      <c r="O29">
        <f>COUNTIF(J2:J32,"Clover")</f>
        <v>6</v>
      </c>
    </row>
    <row r="30" spans="1:15" x14ac:dyDescent="0.2">
      <c r="A30" s="1">
        <v>45856</v>
      </c>
      <c r="B30" t="s">
        <v>39</v>
      </c>
      <c r="C30" t="s">
        <v>41</v>
      </c>
      <c r="D30">
        <v>10</v>
      </c>
      <c r="E30" t="s">
        <v>34</v>
      </c>
      <c r="F30" t="s">
        <v>42</v>
      </c>
      <c r="G30" t="s">
        <v>45</v>
      </c>
      <c r="H30">
        <v>3</v>
      </c>
      <c r="I30" t="s">
        <v>51</v>
      </c>
      <c r="J30" t="s">
        <v>52</v>
      </c>
      <c r="K30">
        <v>84</v>
      </c>
      <c r="L30" t="str">
        <f t="shared" si="0"/>
        <v>Sunny</v>
      </c>
      <c r="M30" t="str">
        <f t="shared" si="1"/>
        <v>Side</v>
      </c>
      <c r="N30" t="s">
        <v>70</v>
      </c>
      <c r="O30">
        <f>COUNTIF(J2:J32, "Dandelion")</f>
        <v>11</v>
      </c>
    </row>
    <row r="31" spans="1:15" x14ac:dyDescent="0.2">
      <c r="A31" s="1">
        <v>45857</v>
      </c>
      <c r="B31" t="s">
        <v>38</v>
      </c>
      <c r="C31" t="s">
        <v>40</v>
      </c>
      <c r="D31">
        <v>19</v>
      </c>
      <c r="E31" t="s">
        <v>33</v>
      </c>
      <c r="F31" t="s">
        <v>44</v>
      </c>
      <c r="G31" t="s">
        <v>45</v>
      </c>
      <c r="H31">
        <v>3</v>
      </c>
      <c r="I31" t="s">
        <v>50</v>
      </c>
      <c r="J31" t="s">
        <v>53</v>
      </c>
      <c r="K31">
        <v>82</v>
      </c>
      <c r="L31" t="str">
        <f t="shared" si="0"/>
        <v>Sunny</v>
      </c>
      <c r="M31" t="str">
        <f t="shared" si="1"/>
        <v>Back</v>
      </c>
      <c r="N31" t="s">
        <v>71</v>
      </c>
      <c r="O31">
        <f>COUNTIF(J2:J32, "Thistle")</f>
        <v>5</v>
      </c>
    </row>
    <row r="32" spans="1:15" x14ac:dyDescent="0.2">
      <c r="A32" s="1">
        <v>45858</v>
      </c>
      <c r="B32" t="s">
        <v>57</v>
      </c>
      <c r="C32" t="s">
        <v>40</v>
      </c>
      <c r="D32">
        <v>13</v>
      </c>
      <c r="E32" t="s">
        <v>34</v>
      </c>
      <c r="F32" t="s">
        <v>42</v>
      </c>
      <c r="G32" t="s">
        <v>45</v>
      </c>
      <c r="H32">
        <v>4</v>
      </c>
      <c r="I32" t="s">
        <v>50</v>
      </c>
      <c r="J32" t="s">
        <v>54</v>
      </c>
      <c r="K32">
        <v>86</v>
      </c>
      <c r="L32" t="str">
        <f t="shared" si="0"/>
        <v>Sunny</v>
      </c>
      <c r="M32" t="str">
        <f t="shared" si="1"/>
        <v>Front</v>
      </c>
    </row>
    <row r="42" spans="2:2" x14ac:dyDescent="0.2">
      <c r="B42" t="s">
        <v>77</v>
      </c>
    </row>
    <row r="43" spans="2:2" x14ac:dyDescent="0.2">
      <c r="B43">
        <f>MEDIAN(D2:D32)</f>
        <v>18</v>
      </c>
    </row>
    <row r="51" spans="18:19" x14ac:dyDescent="0.2">
      <c r="R51" t="s">
        <v>74</v>
      </c>
    </row>
    <row r="52" spans="18:19" x14ac:dyDescent="0.2">
      <c r="R52" t="s">
        <v>48</v>
      </c>
      <c r="S52">
        <f>COUNTIF(G:G, "Sunny")</f>
        <v>17</v>
      </c>
    </row>
    <row r="53" spans="18:19" x14ac:dyDescent="0.2">
      <c r="R53" t="s">
        <v>75</v>
      </c>
      <c r="S53">
        <f>COUNTIF(G:G, "Cloudy")</f>
        <v>6</v>
      </c>
    </row>
    <row r="54" spans="18:19" x14ac:dyDescent="0.2">
      <c r="R54" t="s">
        <v>76</v>
      </c>
      <c r="S54">
        <f>COUNTIF(G:G, "Overcast")</f>
        <v>2</v>
      </c>
    </row>
    <row r="55" spans="18:19" x14ac:dyDescent="0.2">
      <c r="R55" t="s">
        <v>49</v>
      </c>
      <c r="S55">
        <f>COUNTIF(G:G, "Rainy")</f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New Data with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Fang, Jerry J</dc:creator>
  <cp:lastModifiedBy>Fang, Jerry J</cp:lastModifiedBy>
  <dcterms:created xsi:type="dcterms:W3CDTF">2025-07-01T01:10:51Z</dcterms:created>
  <dcterms:modified xsi:type="dcterms:W3CDTF">2025-07-20T13:09:04Z</dcterms:modified>
</cp:coreProperties>
</file>